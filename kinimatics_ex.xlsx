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Python\Scara_Robot\"/>
    </mc:Choice>
  </mc:AlternateContent>
  <xr:revisionPtr revIDLastSave="0" documentId="13_ncr:1_{B53DD25B-9BC6-4C49-BAD9-024981C9317C}" xr6:coauthVersionLast="47" xr6:coauthVersionMax="47" xr10:uidLastSave="{00000000-0000-0000-0000-000000000000}"/>
  <bookViews>
    <workbookView xWindow="-120" yWindow="-120" windowWidth="38640" windowHeight="21240" xr2:uid="{F7D15F0B-DD29-4639-9934-56A6A717E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0" i="1"/>
  <c r="F19" i="1"/>
  <c r="E16" i="1"/>
  <c r="B6" i="1"/>
  <c r="C4" i="1"/>
  <c r="C5" i="1"/>
  <c r="C12" i="1"/>
  <c r="C3" i="1"/>
  <c r="C2" i="1"/>
  <c r="B16" i="1" l="1"/>
  <c r="F16" i="1" s="1"/>
  <c r="C11" i="1" l="1"/>
  <c r="C13" i="1"/>
  <c r="C6" i="1"/>
  <c r="B11" i="1" l="1"/>
  <c r="D11" i="1" s="1"/>
  <c r="E11" i="1" s="1"/>
  <c r="F11" i="1" s="1"/>
  <c r="F17" i="1" s="1"/>
  <c r="B13" i="1"/>
  <c r="D13" i="1" s="1"/>
  <c r="E13" i="1" s="1"/>
  <c r="F13" i="1" s="1"/>
  <c r="B12" i="1"/>
  <c r="D12" i="1" s="1"/>
  <c r="E12" i="1" s="1"/>
  <c r="F12" i="1" s="1"/>
</calcChain>
</file>

<file path=xl/sharedStrings.xml><?xml version="1.0" encoding="utf-8"?>
<sst xmlns="http://schemas.openxmlformats.org/spreadsheetml/2006/main" count="14" uniqueCount="14">
  <si>
    <t>L1</t>
  </si>
  <si>
    <t>L2</t>
  </si>
  <si>
    <t xml:space="preserve">x </t>
  </si>
  <si>
    <t>y</t>
  </si>
  <si>
    <t xml:space="preserve">range </t>
  </si>
  <si>
    <t xml:space="preserve">Elbow angle </t>
  </si>
  <si>
    <t xml:space="preserve">Shoulder angle  </t>
  </si>
  <si>
    <t xml:space="preserve">Target Angle </t>
  </si>
  <si>
    <t>Power2</t>
  </si>
  <si>
    <t>sholder angle to X</t>
  </si>
  <si>
    <t>sholder angle to X other side</t>
  </si>
  <si>
    <t xml:space="preserve">target angly to y </t>
  </si>
  <si>
    <t xml:space="preserve">target angly to y  other side </t>
  </si>
  <si>
    <t>Elbow angle to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</si>
</sst>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95250</xdr:rowOff>
    </xdr:from>
    <xdr:to>
      <xdr:col>13</xdr:col>
      <xdr:colOff>419100</xdr:colOff>
      <xdr:row>15</xdr:row>
      <xdr:rowOff>66675</xdr:rowOff>
    </xdr:to>
    <xdr:pic>
      <xdr:nvPicPr>
        <xdr:cNvPr id="3" name="Picture 2" descr="Trigonometry Basics">
          <a:extLst>
            <a:ext uri="{FF2B5EF4-FFF2-40B4-BE49-F238E27FC236}">
              <a16:creationId xmlns:a16="http://schemas.microsoft.com/office/drawing/2014/main" id="{D288946D-6C93-405D-C3D4-20CD3353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95250"/>
          <a:ext cx="3333750" cy="263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342900</xdr:colOff>
      <xdr:row>0</xdr:row>
      <xdr:rowOff>180975</xdr:rowOff>
    </xdr:from>
    <xdr:to>
      <xdr:col>19</xdr:col>
      <xdr:colOff>504348</xdr:colOff>
      <xdr:row>13</xdr:row>
      <xdr:rowOff>123523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8AFB12-2D66-FD88-5B32-FC96492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180975"/>
          <a:ext cx="3819048" cy="24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197322</xdr:colOff>
      <xdr:row>16</xdr:row>
      <xdr:rowOff>175057</xdr:rowOff>
    </xdr:from>
    <xdr:to>
      <xdr:col>17</xdr:col>
      <xdr:colOff>286968</xdr:colOff>
      <xdr:row>33</xdr:row>
      <xdr:rowOff>164771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460697-744B-40ED-14FF-4B48CB9A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1735" y="3223057"/>
          <a:ext cx="6218776" cy="36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4398-63A6-4FAF-9FDD-263F0CC8B0D1}">
  <dimension ref="A1:F23"/>
  <sheetViews>
    <sheetView tabSelected="1" topLeftCell="E20" zoomScale="190" zoomScaleNormal="190" workbookViewId="0">
      <selection activeCell="F20" sqref="F20"/>
    </sheetView>
  </sheetViews>
  <sheetFormatPr defaultRowHeight="15" x14ac:dyDescent="0.25"/>
  <cols>
    <col min="1" max="1" width="16.85546875" style="1" bestFit="1" customWidth="1"/>
    <col min="2" max="2" width="12" bestFit="1" customWidth="1"/>
  </cols>
  <sheetData>
    <row r="1" spans="1:6" x14ac:dyDescent="0.25">
      <c r="C1" t="s">
        <v>8</v>
      </c>
    </row>
    <row r="2" spans="1:6" x14ac:dyDescent="0.25">
      <c r="A2" s="1" t="s">
        <v>0</v>
      </c>
      <c r="B2">
        <v>22.8</v>
      </c>
      <c r="C2">
        <f>POWER(B2,2)</f>
        <v>519.84</v>
      </c>
    </row>
    <row r="3" spans="1:6" x14ac:dyDescent="0.25">
      <c r="A3" s="1" t="s">
        <v>1</v>
      </c>
      <c r="B3">
        <v>13.6</v>
      </c>
      <c r="C3">
        <f>POWER(B3,2)</f>
        <v>184.95999999999998</v>
      </c>
    </row>
    <row r="4" spans="1:6" x14ac:dyDescent="0.25">
      <c r="A4" s="1" t="s">
        <v>2</v>
      </c>
      <c r="B4">
        <v>10</v>
      </c>
      <c r="C4">
        <f t="shared" ref="C4:C5" si="0">POWER(B4,2)</f>
        <v>100</v>
      </c>
    </row>
    <row r="5" spans="1:6" x14ac:dyDescent="0.25">
      <c r="A5" s="1" t="s">
        <v>3</v>
      </c>
      <c r="B5">
        <v>26</v>
      </c>
      <c r="C5">
        <f t="shared" si="0"/>
        <v>676</v>
      </c>
    </row>
    <row r="6" spans="1:6" x14ac:dyDescent="0.25">
      <c r="A6" s="1" t="s">
        <v>4</v>
      </c>
      <c r="B6">
        <f>SQRT(C4+C5)</f>
        <v>27.856776554368238</v>
      </c>
      <c r="C6">
        <f>POWER(B6,2)</f>
        <v>776</v>
      </c>
    </row>
    <row r="11" spans="1:6" x14ac:dyDescent="0.25">
      <c r="A11" s="1" t="s">
        <v>6</v>
      </c>
      <c r="B11">
        <f>C6+C2-C3</f>
        <v>1110.8800000000001</v>
      </c>
      <c r="C11">
        <f>2*B2*B6</f>
        <v>1270.2690108791917</v>
      </c>
      <c r="D11">
        <f>B11/C11</f>
        <v>0.87452342022508001</v>
      </c>
      <c r="E11">
        <f>ACOS(D11)</f>
        <v>0.50634405519287995</v>
      </c>
      <c r="F11">
        <f>DEGREES(E11)</f>
        <v>29.011377344091237</v>
      </c>
    </row>
    <row r="12" spans="1:6" x14ac:dyDescent="0.25">
      <c r="A12" s="1" t="s">
        <v>5</v>
      </c>
      <c r="B12">
        <f>C3+C2-C6</f>
        <v>-71.200000000000045</v>
      </c>
      <c r="C12">
        <f>2*B2*B3</f>
        <v>620.16</v>
      </c>
      <c r="D12">
        <f>B12/C12</f>
        <v>-0.11480908152734787</v>
      </c>
      <c r="E12">
        <f>ACOS(D12)</f>
        <v>1.6858591350168046</v>
      </c>
      <c r="F12">
        <f>DEGREES(E12)</f>
        <v>96.592613290038514</v>
      </c>
    </row>
    <row r="13" spans="1:6" x14ac:dyDescent="0.25">
      <c r="A13" s="1" t="s">
        <v>7</v>
      </c>
      <c r="B13">
        <f>C3+C6-C2</f>
        <v>441.12</v>
      </c>
      <c r="C13">
        <f>2*B3*B6</f>
        <v>757.70432227881611</v>
      </c>
      <c r="D13">
        <f>B13/C13</f>
        <v>0.58217960097326582</v>
      </c>
      <c r="E13">
        <f>ACOS(D13)</f>
        <v>0.94938946338010843</v>
      </c>
      <c r="F13">
        <f>DEGREES(E13)</f>
        <v>54.396009365870235</v>
      </c>
    </row>
    <row r="16" spans="1:6" x14ac:dyDescent="0.25">
      <c r="A16" s="1" t="s">
        <v>9</v>
      </c>
      <c r="B16">
        <f>B4/B6</f>
        <v>0.35897907930886908</v>
      </c>
      <c r="E16">
        <f>ACOS(B16)</f>
        <v>1.2036224929766774</v>
      </c>
      <c r="F16">
        <f>DEGREES(E16)</f>
        <v>68.962488974578193</v>
      </c>
    </row>
    <row r="17" spans="1:6" ht="30" x14ac:dyDescent="0.25">
      <c r="A17" s="1" t="s">
        <v>10</v>
      </c>
      <c r="F17">
        <f>180-F16-F11</f>
        <v>82.026133681330577</v>
      </c>
    </row>
    <row r="19" spans="1:6" x14ac:dyDescent="0.25">
      <c r="A19" s="1" t="s">
        <v>11</v>
      </c>
      <c r="F19">
        <f>90-F16</f>
        <v>21.037511025421807</v>
      </c>
    </row>
    <row r="20" spans="1:6" ht="30" x14ac:dyDescent="0.25">
      <c r="A20" s="1" t="s">
        <v>12</v>
      </c>
      <c r="F20">
        <f>90-F19-F13</f>
        <v>14.566479608707958</v>
      </c>
    </row>
    <row r="23" spans="1:6" x14ac:dyDescent="0.25">
      <c r="A23" s="1" t="s">
        <v>13</v>
      </c>
      <c r="F23">
        <f>180-F20-F12</f>
        <v>68.840907101253521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2026-04-02T02:21:22Z</dcterms:created>
  <dcterms:modified xsi:type="dcterms:W3CDTF">2026-04-02T19:41:45Z</dcterms:modified>
</cp:coreProperties>
</file>